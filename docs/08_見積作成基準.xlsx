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準" sheetId="1" state="visible" r:id="rId3"/>
    <sheet name="設備別チャージ" sheetId="2" state="visible" r:id="rId4"/>
    <sheet name="小ロット割増" sheetId="3" state="visible" r:id="rId5"/>
    <sheet name="段取り費" sheetId="4" state="visible" r:id="rId6"/>
    <sheet name="承認区分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<sst xmlns="http://schemas.openxmlformats.org/spreadsheetml/2006/main" count="60" uniqueCount="58">
  <si>
    <t xml:space="preserve">見積作成基準</t>
  </si>
  <si>
    <r>
      <rPr>
        <sz val="9"/>
        <color rgb="FF555555"/>
        <rFont val="Noto Sans CJK SC"/>
        <family val="2"/>
      </rPr>
      <t xml:space="preserve">営業部  改定</t>
    </r>
    <r>
      <rPr>
        <sz val="9"/>
        <color rgb="FF555555"/>
        <rFont val="Meiryo"/>
        <family val="0"/>
        <charset val="1"/>
      </rPr>
      <t xml:space="preserve">:2026</t>
    </r>
    <r>
      <rPr>
        <sz val="9"/>
        <color rgb="FF555555"/>
        <rFont val="Noto Sans CJK SC"/>
        <family val="2"/>
      </rPr>
      <t xml:space="preserve">年</t>
    </r>
    <r>
      <rPr>
        <sz val="9"/>
        <color rgb="FF555555"/>
        <rFont val="Meiryo"/>
        <family val="0"/>
        <charset val="1"/>
      </rPr>
      <t xml:space="preserve">4</t>
    </r>
    <r>
      <rPr>
        <sz val="9"/>
        <color rgb="FF555555"/>
        <rFont val="Noto Sans CJK SC"/>
        <family val="2"/>
      </rPr>
      <t xml:space="preserve">月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日  ※青字は手入力の基準値</t>
    </r>
  </si>
  <si>
    <t xml:space="preserve">項目</t>
  </si>
  <si>
    <t xml:space="preserve">値</t>
  </si>
  <si>
    <t xml:space="preserve">単位</t>
  </si>
  <si>
    <t xml:space="preserve">備考</t>
  </si>
  <si>
    <t xml:space="preserve">材料費係数</t>
  </si>
  <si>
    <t xml:space="preserve">倍</t>
  </si>
  <si>
    <t xml:space="preserve">仕入単価に乗じる。歩留り・端材ロスを含む</t>
  </si>
  <si>
    <r>
      <rPr>
        <sz val="10"/>
        <color rgb="FF0000FF"/>
        <rFont val="Noto Sans CJK SC"/>
        <family val="2"/>
      </rPr>
      <t xml:space="preserve">材料費係数</t>
    </r>
    <r>
      <rPr>
        <sz val="10"/>
        <color rgb="FF0000FF"/>
        <rFont val="Meiryo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長納期</t>
    </r>
    <r>
      <rPr>
        <sz val="10"/>
        <color rgb="FF0000FF"/>
        <rFont val="Meiryo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</si>
  <si>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材料の手配リードタイムが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週間を超える場合</t>
    </r>
  </si>
  <si>
    <t xml:space="preserve">支給材の受入検査費</t>
  </si>
  <si>
    <r>
      <rPr>
        <sz val="10"/>
        <color rgb="FF0000FF"/>
        <rFont val="Noto Sans CJK SC"/>
        <family val="2"/>
      </rPr>
      <t xml:space="preserve">円</t>
    </r>
    <r>
      <rPr>
        <sz val="10"/>
        <color rgb="FF0000FF"/>
        <rFont val="Meiryo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ロット</t>
    </r>
  </si>
  <si>
    <t xml:space="preserve">支給材の場合は材料費を計上しない</t>
  </si>
  <si>
    <t xml:space="preserve">標準時間チャージ</t>
  </si>
  <si>
    <r>
      <rPr>
        <sz val="10"/>
        <color rgb="FF0000FF"/>
        <rFont val="Noto Sans CJK SC"/>
        <family val="2"/>
      </rPr>
      <t xml:space="preserve">円</t>
    </r>
    <r>
      <rPr>
        <sz val="10"/>
        <color rgb="FF0000FF"/>
        <rFont val="Meiryo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時</t>
    </r>
  </si>
  <si>
    <t xml:space="preserve">加工費の基準単価</t>
  </si>
  <si>
    <t xml:space="preserve">管理費率</t>
  </si>
  <si>
    <t xml:space="preserve">率</t>
  </si>
  <si>
    <t xml:space="preserve">材料費・加工費等の合計に乗じる</t>
  </si>
  <si>
    <t xml:space="preserve">見積有効期限</t>
  </si>
  <si>
    <t xml:space="preserve">日</t>
  </si>
  <si>
    <t xml:space="preserve">提出日から起算</t>
  </si>
  <si>
    <t xml:space="preserve">現場判断の値引き限度</t>
  </si>
  <si>
    <t xml:space="preserve">これを超える値引きは営業部長の承認</t>
  </si>
  <si>
    <t xml:space="preserve">設備別の時間チャージ</t>
  </si>
  <si>
    <r>
      <rPr>
        <sz val="9"/>
        <color rgb="FF555555"/>
        <rFont val="Noto Sans CJK SC"/>
        <family val="2"/>
      </rPr>
      <t xml:space="preserve">時間単価 </t>
    </r>
    <r>
      <rPr>
        <sz val="9"/>
        <color rgb="FF555555"/>
        <rFont val="Meiryo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標準時間チャージ </t>
    </r>
    <r>
      <rPr>
        <sz val="9"/>
        <color rgb="FF555555"/>
        <rFont val="Meiryo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係数</t>
    </r>
    <r>
      <rPr>
        <sz val="9"/>
        <color rgb="FF555555"/>
        <rFont val="Meiryo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黒字は数式</t>
    </r>
    <r>
      <rPr>
        <sz val="9"/>
        <color rgb="FF555555"/>
        <rFont val="Meiryo"/>
        <family val="0"/>
        <charset val="1"/>
      </rPr>
      <t xml:space="preserve">)</t>
    </r>
  </si>
  <si>
    <t xml:space="preserve">設備</t>
  </si>
  <si>
    <t xml:space="preserve">係数</t>
  </si>
  <si>
    <r>
      <rPr>
        <b val="true"/>
        <sz val="10"/>
        <rFont val="Noto Sans CJK SC"/>
        <family val="2"/>
      </rPr>
      <t xml:space="preserve">時間単価</t>
    </r>
    <r>
      <rPr>
        <b val="true"/>
        <sz val="10"/>
        <rFont val="Meiryo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円</t>
    </r>
    <r>
      <rPr>
        <b val="true"/>
        <sz val="10"/>
        <rFont val="Meiryo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時</t>
    </r>
    <r>
      <rPr>
        <b val="true"/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</si>
  <si>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NC</t>
    </r>
    <r>
      <rPr>
        <sz val="10"/>
        <rFont val="Noto Sans CJK SC"/>
        <family val="2"/>
      </rPr>
      <t xml:space="preserve">フライス盤</t>
    </r>
  </si>
  <si>
    <r>
      <rPr>
        <sz val="10"/>
        <rFont val="Meiryo"/>
        <family val="0"/>
        <charset val="1"/>
      </rPr>
      <t xml:space="preserve">NC</t>
    </r>
    <r>
      <rPr>
        <sz val="10"/>
        <rFont val="Noto Sans CJK SC"/>
        <family val="2"/>
      </rPr>
      <t xml:space="preserve">旋盤</t>
    </r>
  </si>
  <si>
    <t xml:space="preserve">マシニングセンタ</t>
  </si>
  <si>
    <t xml:space="preserve">汎用機・手仕上げ</t>
  </si>
  <si>
    <t xml:space="preserve">小ロット割増</t>
  </si>
  <si>
    <t xml:space="preserve">ロット数量が少ないと段取り費の負担が重くなるため、加工費に割増を適用する</t>
  </si>
  <si>
    <t xml:space="preserve">ロット数量</t>
  </si>
  <si>
    <t xml:space="preserve">加工費への割増</t>
  </si>
  <si>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9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</si>
  <si>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Meiryo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49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</si>
  <si>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Meiryo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個以上</t>
    </r>
  </si>
  <si>
    <t xml:space="preserve">段取り費の目安</t>
  </si>
  <si>
    <r>
      <rPr>
        <sz val="9"/>
        <color rgb="FF555555"/>
        <rFont val="Noto Sans CJK SC"/>
        <family val="2"/>
      </rPr>
      <t xml:space="preserve">段取り費 </t>
    </r>
    <r>
      <rPr>
        <sz val="9"/>
        <color rgb="FF555555"/>
        <rFont val="Meiryo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段取り時間 </t>
    </r>
    <r>
      <rPr>
        <sz val="9"/>
        <color rgb="FF555555"/>
        <rFont val="Meiryo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標準時間チャージ</t>
    </r>
  </si>
  <si>
    <t xml:space="preserve">形状の区分</t>
  </si>
  <si>
    <r>
      <rPr>
        <b val="true"/>
        <sz val="10"/>
        <rFont val="Noto Sans CJK SC"/>
        <family val="2"/>
      </rPr>
      <t xml:space="preserve">標準段取り時間</t>
    </r>
    <r>
      <rPr>
        <b val="true"/>
        <sz val="10"/>
        <rFont val="Meiryo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時間</t>
    </r>
    <r>
      <rPr>
        <b val="true"/>
        <sz val="10"/>
        <rFont val="Meiryo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</si>
  <si>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段取り費</t>
    </r>
    <r>
      <rPr>
        <b val="true"/>
        <sz val="10"/>
        <rFont val="Meiryo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円</t>
    </r>
    <r>
      <rPr>
        <b val="true"/>
        <sz val="10"/>
        <rFont val="Meiryo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ロット</t>
    </r>
    <r>
      <rPr>
        <b val="true"/>
        <sz val="10"/>
        <rFont val="Meiryo"/>
        <family val="0"/>
        <charset val="1"/>
      </rPr>
      <t xml:space="preserve">)</t>
    </r>
  </si>
  <si>
    <t xml:space="preserve">単純形状</t>
  </si>
  <si>
    <t xml:space="preserve">中程度</t>
  </si>
  <si>
    <t xml:space="preserve">複雑・多工程</t>
  </si>
  <si>
    <t xml:space="preserve">見積の承認区分</t>
  </si>
  <si>
    <t xml:space="preserve">見積金額</t>
  </si>
  <si>
    <t xml:space="preserve">承認者</t>
  </si>
  <si>
    <r>
      <rPr>
        <sz val="10"/>
        <rFont val="Meiryo"/>
        <family val="0"/>
        <charset val="1"/>
      </rPr>
      <t xml:space="preserve">100</t>
    </r>
    <r>
      <rPr>
        <sz val="10"/>
        <rFont val="Noto Sans CJK SC"/>
        <family val="2"/>
      </rPr>
      <t xml:space="preserve">万円未満</t>
    </r>
  </si>
  <si>
    <t xml:space="preserve">営業課長</t>
  </si>
  <si>
    <r>
      <rPr>
        <sz val="10"/>
        <rFont val="Meiryo"/>
        <family val="0"/>
        <charset val="1"/>
      </rPr>
      <t xml:space="preserve">100</t>
    </r>
    <r>
      <rPr>
        <sz val="10"/>
        <rFont val="Noto Sans CJK SC"/>
        <family val="2"/>
      </rPr>
      <t xml:space="preserve">万円以上</t>
    </r>
    <r>
      <rPr>
        <sz val="10"/>
        <rFont val="Meiryo"/>
        <family val="0"/>
        <charset val="1"/>
      </rPr>
      <t xml:space="preserve">500</t>
    </r>
    <r>
      <rPr>
        <sz val="10"/>
        <rFont val="Noto Sans CJK SC"/>
        <family val="2"/>
      </rPr>
      <t xml:space="preserve">万円未満</t>
    </r>
  </si>
  <si>
    <t xml:space="preserve">営業部長</t>
  </si>
  <si>
    <r>
      <rPr>
        <sz val="10"/>
        <rFont val="Meiryo"/>
        <family val="0"/>
        <charset val="1"/>
      </rPr>
      <t xml:space="preserve">500</t>
    </r>
    <r>
      <rPr>
        <sz val="10"/>
        <rFont val="Noto Sans CJK SC"/>
        <family val="2"/>
      </rPr>
      <t xml:space="preserve">万円以上</t>
    </r>
  </si>
  <si>
    <t xml:space="preserve">社長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</si>
</sst>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0.0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Meiryo"/>
      <family val="0"/>
      <charset val="1"/>
    </font>
    <font>
      <b val="true"/>
      <sz val="10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Meiryo"/>
      <family val="0"/>
      <charset val="1"/>
    </font>
    <font>
      <b val="true"/>
      <sz val="10"/>
      <name val="Meiryo"/>
      <family val="0"/>
      <charset val="1"/>
    </font>
    <font>
      <sz val="10"/>
      <name val="Meiryo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5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5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4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1.15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4" t="n">
        <v>1.2</v>
      </c>
      <c r="C6" s="4" t="s">
        <v>7</v>
      </c>
      <c r="D6" s="4" t="s">
        <v>10</v>
      </c>
    </row>
    <row r="7" customFormat="false" ht="15" hidden="false" customHeight="false" outlineLevel="0" collapsed="false">
      <c r="A7" s="4" t="s">
        <v>11</v>
      </c>
      <c r="B7" s="4" t="n">
        <v>3000</v>
      </c>
      <c r="C7" s="4" t="s">
        <v>12</v>
      </c>
      <c r="D7" s="4" t="s">
        <v>13</v>
      </c>
    </row>
    <row r="8" customFormat="false" ht="15" hidden="false" customHeight="false" outlineLevel="0" collapsed="false">
      <c r="A8" s="4" t="s">
        <v>14</v>
      </c>
      <c r="B8" s="4" t="n">
        <v>4800</v>
      </c>
      <c r="C8" s="4" t="s">
        <v>15</v>
      </c>
      <c r="D8" s="4" t="s">
        <v>16</v>
      </c>
    </row>
    <row r="9" customFormat="false" ht="15" hidden="false" customHeight="false" outlineLevel="0" collapsed="false">
      <c r="A9" s="4" t="s">
        <v>17</v>
      </c>
      <c r="B9" s="5" t="n">
        <v>0.08</v>
      </c>
      <c r="C9" s="6" t="s">
        <v>18</v>
      </c>
      <c r="D9" s="4" t="s">
        <v>19</v>
      </c>
    </row>
    <row r="10" customFormat="false" ht="15" hidden="false" customHeight="false" outlineLevel="0" collapsed="false">
      <c r="A10" s="4" t="s">
        <v>20</v>
      </c>
      <c r="B10" s="4" t="n">
        <v>30</v>
      </c>
      <c r="C10" s="4" t="s">
        <v>21</v>
      </c>
      <c r="D10" s="4" t="s">
        <v>22</v>
      </c>
    </row>
    <row r="11" customFormat="false" ht="15" hidden="false" customHeight="false" outlineLevel="0" collapsed="false">
      <c r="A11" s="4" t="s">
        <v>23</v>
      </c>
      <c r="B11" s="5" t="n">
        <v>0.03</v>
      </c>
      <c r="C11" s="4" t="s">
        <v>18</v>
      </c>
      <c r="D11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8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</row>
    <row r="5" customFormat="false" ht="15" hidden="false" customHeight="false" outlineLevel="0" collapsed="false">
      <c r="A5" s="7" t="s">
        <v>30</v>
      </c>
      <c r="B5" s="8" t="n">
        <v>1</v>
      </c>
      <c r="C5" s="9" t="n">
        <f aca="false">基準!$B$8*B5</f>
        <v>4800</v>
      </c>
    </row>
    <row r="6" customFormat="false" ht="15" hidden="false" customHeight="false" outlineLevel="0" collapsed="false">
      <c r="A6" s="7" t="s">
        <v>31</v>
      </c>
      <c r="B6" s="8" t="n">
        <v>1</v>
      </c>
      <c r="C6" s="9" t="n">
        <f aca="false">基準!$B$8*B6</f>
        <v>4800</v>
      </c>
    </row>
    <row r="7" customFormat="false" ht="15" hidden="false" customHeight="false" outlineLevel="0" collapsed="false">
      <c r="A7" s="10" t="s">
        <v>32</v>
      </c>
      <c r="B7" s="8" t="n">
        <v>1.3</v>
      </c>
      <c r="C7" s="9" t="n">
        <f aca="false">基準!$B$8*B7</f>
        <v>6240</v>
      </c>
    </row>
    <row r="8" customFormat="false" ht="15" hidden="false" customHeight="false" outlineLevel="0" collapsed="false">
      <c r="A8" s="10" t="s">
        <v>33</v>
      </c>
      <c r="B8" s="8" t="n">
        <v>0.8</v>
      </c>
      <c r="C8" s="9" t="n">
        <f aca="false">基準!$B$8*B8</f>
        <v>3840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</row>
    <row r="5" customFormat="false" ht="15" hidden="false" customHeight="false" outlineLevel="0" collapsed="false">
      <c r="A5" s="11" t="s">
        <v>38</v>
      </c>
      <c r="B5" s="5" t="n">
        <v>0.3</v>
      </c>
    </row>
    <row r="6" customFormat="false" ht="15" hidden="false" customHeight="false" outlineLevel="0" collapsed="false">
      <c r="A6" s="11" t="s">
        <v>39</v>
      </c>
      <c r="B6" s="5" t="n">
        <v>0.15</v>
      </c>
    </row>
    <row r="7" customFormat="false" ht="15" hidden="false" customHeight="false" outlineLevel="0" collapsed="false">
      <c r="A7" s="11" t="s">
        <v>40</v>
      </c>
      <c r="B7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16.1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</row>
    <row r="5" customFormat="false" ht="15" hidden="false" customHeight="false" outlineLevel="0" collapsed="false">
      <c r="A5" s="10" t="s">
        <v>46</v>
      </c>
      <c r="B5" s="8" t="n">
        <v>0.5</v>
      </c>
      <c r="C5" s="9" t="n">
        <f aca="false">B5*基準!$B$8</f>
        <v>2400</v>
      </c>
    </row>
    <row r="6" customFormat="false" ht="15" hidden="false" customHeight="false" outlineLevel="0" collapsed="false">
      <c r="A6" s="10" t="s">
        <v>47</v>
      </c>
      <c r="B6" s="8" t="n">
        <v>1</v>
      </c>
      <c r="C6" s="9" t="n">
        <f aca="false">B6*基準!$B$8</f>
        <v>4800</v>
      </c>
    </row>
    <row r="7" customFormat="false" ht="15" hidden="false" customHeight="false" outlineLevel="0" collapsed="false">
      <c r="A7" s="10" t="s">
        <v>48</v>
      </c>
      <c r="B7" s="8" t="n">
        <v>2</v>
      </c>
      <c r="C7" s="9" t="n">
        <f aca="false">B7*基準!$B$8</f>
        <v>9600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49</v>
      </c>
    </row>
    <row r="4" customFormat="false" ht="15" hidden="false" customHeight="false" outlineLevel="0" collapsed="false">
      <c r="A4" s="3" t="s">
        <v>50</v>
      </c>
      <c r="B4" s="3" t="s">
        <v>51</v>
      </c>
    </row>
    <row r="5" customFormat="false" ht="15" hidden="false" customHeight="false" outlineLevel="0" collapsed="false">
      <c r="A5" s="7" t="s">
        <v>52</v>
      </c>
      <c r="B5" s="10" t="s">
        <v>53</v>
      </c>
    </row>
    <row r="6" customFormat="false" ht="15" hidden="false" customHeight="false" outlineLevel="0" collapsed="false">
      <c r="A6" s="7" t="s">
        <v>54</v>
      </c>
      <c r="B6" s="10" t="s">
        <v>55</v>
      </c>
    </row>
    <row r="7" customFormat="false" ht="15" hidden="false" customHeight="false" outlineLevel="0" collapsed="false">
      <c r="A7" s="7" t="s">
        <v>56</v>
      </c>
      <c r="B7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2026-09-23T02:23:52Z</dcterms:created>
  <dc:creator>openpyxl</dc:creator>
  <dc:description/>
  <dc:language>en-US</dc:language>
  <cp:lastModifiedBy/>
  <dcterms:modified xsi:type="dcterms:W3CDTF">2026-09-23T02:23:52Z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